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mk-my.sharepoint.com/personal/vnm213_hallmark_com/Documents/Desktop/DB2 LUW/"/>
    </mc:Choice>
  </mc:AlternateContent>
  <xr:revisionPtr revIDLastSave="13" documentId="8_{2EBE6100-5614-45FD-844C-F1C64DCE4B2D}" xr6:coauthVersionLast="47" xr6:coauthVersionMax="47" xr10:uidLastSave="{32C8F21A-6DD4-4587-87FB-52ED5F028D60}"/>
  <bookViews>
    <workbookView xWindow="-110" yWindow="-110" windowWidth="19420" windowHeight="10300" xr2:uid="{9046FE49-74A0-4CD1-92E1-957C6661E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C12" i="1"/>
  <c r="C11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17" i="1"/>
  <c r="C18" i="1"/>
  <c r="C9" i="1"/>
  <c r="C16" i="1"/>
  <c r="C15" i="1"/>
  <c r="C14" i="1"/>
  <c r="C13" i="1"/>
  <c r="C8" i="1"/>
  <c r="C7" i="1"/>
  <c r="C6" i="1"/>
  <c r="C19" i="1"/>
  <c r="C5" i="1"/>
  <c r="C4" i="1"/>
  <c r="C20" i="1"/>
  <c r="C3" i="1"/>
  <c r="C2" i="1"/>
</calcChain>
</file>

<file path=xl/sharedStrings.xml><?xml version="1.0" encoding="utf-8"?>
<sst xmlns="http://schemas.openxmlformats.org/spreadsheetml/2006/main" count="125" uniqueCount="95">
  <si>
    <t>Table_Name</t>
  </si>
  <si>
    <t>Record_Count</t>
  </si>
  <si>
    <t>Count in B/M</t>
  </si>
  <si>
    <t>Duration</t>
  </si>
  <si>
    <t>ACCT_RTL_DSPL_SMART</t>
  </si>
  <si>
    <t>100m 12s</t>
  </si>
  <si>
    <t>Not changing</t>
  </si>
  <si>
    <t>ACCT_TO_SKU_XREF</t>
  </si>
  <si>
    <t>34m 8s</t>
  </si>
  <si>
    <t>CLUSTER_PGU_SNAP</t>
  </si>
  <si>
    <t>40m 56s</t>
  </si>
  <si>
    <t>CONSUMER_SOURCE</t>
  </si>
  <si>
    <t>25m 42s</t>
  </si>
  <si>
    <t>DA_TRAIT_VAL_XREF</t>
  </si>
  <si>
    <t>4m 34s</t>
  </si>
  <si>
    <t>DGTLASST_AUDIT_LOG</t>
  </si>
  <si>
    <t>38m 58s</t>
  </si>
  <si>
    <t>ED_MC_ITEM</t>
  </si>
  <si>
    <t>60m 33s</t>
  </si>
  <si>
    <t>16m 8s</t>
  </si>
  <si>
    <t>MPMS_ACTIVITY_LOG</t>
  </si>
  <si>
    <t>107m 10s</t>
  </si>
  <si>
    <t>PGM_TO_ACCT_XREF</t>
  </si>
  <si>
    <t>74m 53s</t>
  </si>
  <si>
    <t>PLN_FC_PPL_ORD_STK</t>
  </si>
  <si>
    <t>61m 34s</t>
  </si>
  <si>
    <t>PLNOPT_FC_RCMD_MQT</t>
  </si>
  <si>
    <t>99m 27s</t>
  </si>
  <si>
    <t>PLNOPT_FC_RCOMND</t>
  </si>
  <si>
    <t>100m 15s</t>
  </si>
  <si>
    <t>PLNOPT_RCOMND_STK</t>
  </si>
  <si>
    <t>41m 53s</t>
  </si>
  <si>
    <t>RETAIL_INVENTORY</t>
  </si>
  <si>
    <t>231m 42s</t>
  </si>
  <si>
    <t>28m 34s</t>
  </si>
  <si>
    <t>SAP_DLVRY_LINE</t>
  </si>
  <si>
    <t>128m 9s</t>
  </si>
  <si>
    <t>SAP_SHIP_DTL</t>
  </si>
  <si>
    <t>175m 31s</t>
  </si>
  <si>
    <t>SBT_ACT_UPC_RGAC</t>
  </si>
  <si>
    <t>70m 23s</t>
  </si>
  <si>
    <t>SBT_CUR_ACT_UPC_PI</t>
  </si>
  <si>
    <t>332m 26s</t>
  </si>
  <si>
    <t>SBT_DLY_TRANS</t>
  </si>
  <si>
    <t>65m 6s</t>
  </si>
  <si>
    <t>SBT_ED_ACT_UPC_SHK</t>
  </si>
  <si>
    <t>265m 32s</t>
  </si>
  <si>
    <t>SBT_MBA_ACT_UPC_PI</t>
  </si>
  <si>
    <t>315m 0s</t>
  </si>
  <si>
    <t>SBT_MBB_ACT_UPC_PI</t>
  </si>
  <si>
    <t>498m 3s</t>
  </si>
  <si>
    <t>SBT_MBC_ACT_UPC_PI</t>
  </si>
  <si>
    <t>351m 51s</t>
  </si>
  <si>
    <t>SBT_ME_ACT_UPC_FIN</t>
  </si>
  <si>
    <t>184m 20s</t>
  </si>
  <si>
    <t>SE_PSTN_DEF_MLU</t>
  </si>
  <si>
    <t>91m 43s</t>
  </si>
  <si>
    <t>SHPMT_HIST_FSO_DCN_STK</t>
  </si>
  <si>
    <t>850m 24s</t>
  </si>
  <si>
    <t>SNP_CAPTION</t>
  </si>
  <si>
    <t>81m 9s</t>
  </si>
  <si>
    <t>SNP_DUMP_CAPTION</t>
  </si>
  <si>
    <t>30m 20s</t>
  </si>
  <si>
    <t>5m</t>
  </si>
  <si>
    <t>export_snp_dump_caption_parallel</t>
  </si>
  <si>
    <t>SNP_DUMP_MLU</t>
  </si>
  <si>
    <t>55m 20s</t>
  </si>
  <si>
    <t>6m 49s</t>
  </si>
  <si>
    <t>export_snp_dump_mlu_parallel.sh</t>
  </si>
  <si>
    <t>SNP_DUMP_TRADEAREA_MLU</t>
  </si>
  <si>
    <t>22m</t>
  </si>
  <si>
    <t>3m</t>
  </si>
  <si>
    <t>export_snp_dump_tradearea_mlu_parallel.sh</t>
  </si>
  <si>
    <t>SNP_FIXRUN_ROW</t>
  </si>
  <si>
    <t>145m 59s</t>
  </si>
  <si>
    <t>SNP_HL_CONTENT</t>
  </si>
  <si>
    <t>36m 59s</t>
  </si>
  <si>
    <t>SNP_HL_CTNT_PLCMT</t>
  </si>
  <si>
    <t>59m 3s</t>
  </si>
  <si>
    <t>SNP_MLUV</t>
  </si>
  <si>
    <t>635m 49s</t>
  </si>
  <si>
    <t>SNP_OPTMZD_POCKET</t>
  </si>
  <si>
    <t>571m 40s</t>
  </si>
  <si>
    <t>SNP_PGU</t>
  </si>
  <si>
    <t>999m 39s</t>
  </si>
  <si>
    <t>SNP_PGU_CURR_DSPLY</t>
  </si>
  <si>
    <t>90m 44s</t>
  </si>
  <si>
    <t>STOREVNT_PSTN_DEF</t>
  </si>
  <si>
    <t>41m 22s</t>
  </si>
  <si>
    <t>WK_FILTER_CORE</t>
  </si>
  <si>
    <t>41m 19s</t>
  </si>
  <si>
    <t>WK_FLTR_CMPNT_CORE</t>
  </si>
  <si>
    <t>34m 3s</t>
  </si>
  <si>
    <t>Records growing</t>
  </si>
  <si>
    <t>Records not changing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</si>
</sst>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8"/>
      <color rgb="FF616161"/>
      <name val="Segoe UI"/>
      <family val="2"/>
    </font>
    <font>
      <sz val="8"/>
      <color rgb="FF20202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14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0" fillId="0" borderId="1" xfId="0" applyBorder="1"/>
    <xf numFmtId="0" fontId="2" fillId="3" borderId="1" xfId="0" applyFont="1" applyFill="1" applyBorder="1" applyAlignment="1">
      <alignment vertical="center"/>
    </xf>
    <xf numFmtId="0" fontId="0" fillId="3" borderId="1" xfId="0" applyFill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6EE9-894C-44E5-B2A0-EF494F63B1C4}">
  <dimension ref="A1:F49"/>
  <sheetViews>
    <sheetView tabSelected="1" topLeftCell="A20" workbookViewId="0">
      <selection activeCell="A10" sqref="A10:XFD12"/>
    </sheetView>
  </sheetViews>
  <sheetFormatPr defaultRowHeight="14.5" x14ac:dyDescent="0.35"/>
  <cols>
    <col min="1" max="1" width="31.08984375" bestFit="1" customWidth="1"/>
    <col min="2" max="2" width="12.54296875" bestFit="1" customWidth="1"/>
    <col min="3" max="3" width="11.36328125" bestFit="1" customWidth="1"/>
    <col min="4" max="4" width="8.08984375" bestFit="1" customWidth="1"/>
    <col min="5" max="5" width="8.08984375" customWidth="1"/>
    <col min="6" max="6" width="37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>
        <v>46176</v>
      </c>
    </row>
    <row r="2" spans="1:6" ht="16" x14ac:dyDescent="0.35">
      <c r="A2" s="3" t="s">
        <v>4</v>
      </c>
      <c r="B2" s="4">
        <v>221291256</v>
      </c>
      <c r="C2" s="4" t="str">
        <f t="shared" ref="C2:C36" si="0">ROUND(B2/1000000,2) &amp; " M"</f>
        <v>221.29 M</v>
      </c>
      <c r="D2" s="5" t="s">
        <v>5</v>
      </c>
      <c r="E2" s="6">
        <v>45.1</v>
      </c>
      <c r="F2" s="7" t="s">
        <v>6</v>
      </c>
    </row>
    <row r="3" spans="1:6" ht="16" x14ac:dyDescent="0.35">
      <c r="A3" s="3" t="s">
        <v>7</v>
      </c>
      <c r="B3" s="4">
        <v>172960640</v>
      </c>
      <c r="C3" s="4" t="str">
        <f t="shared" si="0"/>
        <v>172.96 M</v>
      </c>
      <c r="D3" s="5" t="s">
        <v>8</v>
      </c>
      <c r="E3" s="6">
        <v>26.8</v>
      </c>
      <c r="F3" s="7" t="s">
        <v>6</v>
      </c>
    </row>
    <row r="4" spans="1:6" ht="16" x14ac:dyDescent="0.35">
      <c r="A4" s="3" t="s">
        <v>11</v>
      </c>
      <c r="B4" s="4">
        <v>136990630</v>
      </c>
      <c r="C4" s="4" t="str">
        <f t="shared" si="0"/>
        <v>136.99 M</v>
      </c>
      <c r="D4" s="5" t="s">
        <v>12</v>
      </c>
      <c r="E4" s="6">
        <v>19.3</v>
      </c>
      <c r="F4" s="7" t="s">
        <v>6</v>
      </c>
    </row>
    <row r="5" spans="1:6" ht="16" x14ac:dyDescent="0.35">
      <c r="A5" s="3" t="s">
        <v>13</v>
      </c>
      <c r="B5" s="4">
        <v>167646996</v>
      </c>
      <c r="C5" s="4" t="str">
        <f t="shared" si="0"/>
        <v>167.65 M</v>
      </c>
      <c r="D5" s="5" t="s">
        <v>14</v>
      </c>
      <c r="E5" s="6">
        <v>132.80000000000001</v>
      </c>
      <c r="F5" s="7" t="s">
        <v>6</v>
      </c>
    </row>
    <row r="6" spans="1:6" ht="16" x14ac:dyDescent="0.35">
      <c r="A6" s="3" t="s">
        <v>17</v>
      </c>
      <c r="B6" s="4">
        <v>101419583</v>
      </c>
      <c r="C6" s="4" t="str">
        <f t="shared" si="0"/>
        <v>101.42 M</v>
      </c>
      <c r="D6" s="5" t="s">
        <v>18</v>
      </c>
      <c r="E6" s="12" t="s">
        <v>19</v>
      </c>
      <c r="F6" s="7" t="s">
        <v>6</v>
      </c>
    </row>
    <row r="7" spans="1:6" ht="16" x14ac:dyDescent="0.35">
      <c r="A7" s="3" t="s">
        <v>20</v>
      </c>
      <c r="B7" s="4">
        <v>128931581</v>
      </c>
      <c r="C7" s="4" t="str">
        <f t="shared" si="0"/>
        <v>128.93 M</v>
      </c>
      <c r="D7" s="5" t="s">
        <v>21</v>
      </c>
      <c r="E7" s="12"/>
      <c r="F7" s="7" t="s">
        <v>6</v>
      </c>
    </row>
    <row r="8" spans="1:6" ht="16" x14ac:dyDescent="0.35">
      <c r="A8" s="3" t="s">
        <v>22</v>
      </c>
      <c r="B8" s="4">
        <v>244393883</v>
      </c>
      <c r="C8" s="4" t="str">
        <f t="shared" si="0"/>
        <v>244.39 M</v>
      </c>
      <c r="D8" s="5" t="s">
        <v>23</v>
      </c>
      <c r="E8" s="12"/>
      <c r="F8" s="7" t="s">
        <v>6</v>
      </c>
    </row>
    <row r="9" spans="1:6" ht="16" x14ac:dyDescent="0.35">
      <c r="A9" s="3" t="s">
        <v>32</v>
      </c>
      <c r="B9" s="4">
        <v>168621357</v>
      </c>
      <c r="C9" s="4" t="str">
        <f>ROUND(B9/1000000,2) &amp; " M"</f>
        <v>168.62 M</v>
      </c>
      <c r="D9" s="5" t="s">
        <v>33</v>
      </c>
      <c r="E9" s="12" t="s">
        <v>34</v>
      </c>
      <c r="F9" s="7" t="s">
        <v>6</v>
      </c>
    </row>
    <row r="10" spans="1:6" ht="16" x14ac:dyDescent="0.35">
      <c r="A10" s="3" t="s">
        <v>57</v>
      </c>
      <c r="B10" s="4">
        <v>899363317</v>
      </c>
      <c r="C10" s="4" t="str">
        <f>ROUND(B10/1000000,2) &amp; " M"</f>
        <v>899.36 M</v>
      </c>
      <c r="D10" s="5" t="s">
        <v>58</v>
      </c>
      <c r="E10" s="6">
        <v>34.6</v>
      </c>
      <c r="F10" s="7" t="s">
        <v>6</v>
      </c>
    </row>
    <row r="11" spans="1:6" ht="16" x14ac:dyDescent="0.35">
      <c r="A11" s="3" t="s">
        <v>89</v>
      </c>
      <c r="B11" s="4">
        <v>88667072</v>
      </c>
      <c r="C11" s="4" t="str">
        <f>ROUND(B11/1000000,2) &amp; " M"</f>
        <v>88.67 M</v>
      </c>
      <c r="D11" s="5" t="s">
        <v>90</v>
      </c>
      <c r="E11" s="6">
        <v>1.5</v>
      </c>
      <c r="F11" s="7" t="s">
        <v>6</v>
      </c>
    </row>
    <row r="12" spans="1:6" ht="16" x14ac:dyDescent="0.35">
      <c r="A12" s="3" t="s">
        <v>91</v>
      </c>
      <c r="B12" s="4">
        <v>256320428</v>
      </c>
      <c r="C12" s="4" t="str">
        <f>ROUND(B12/1000000,2) &amp; " M"</f>
        <v>256.32 M</v>
      </c>
      <c r="D12" s="5" t="s">
        <v>92</v>
      </c>
      <c r="E12" s="6">
        <v>2.9</v>
      </c>
      <c r="F12" s="7" t="s">
        <v>6</v>
      </c>
    </row>
    <row r="13" spans="1:6" ht="16" x14ac:dyDescent="0.35">
      <c r="A13" s="3" t="s">
        <v>24</v>
      </c>
      <c r="B13" s="4">
        <v>648281032</v>
      </c>
      <c r="C13" s="4" t="str">
        <f t="shared" si="0"/>
        <v>648.28 M</v>
      </c>
      <c r="D13" s="5" t="s">
        <v>25</v>
      </c>
      <c r="E13" s="12"/>
      <c r="F13" s="7"/>
    </row>
    <row r="14" spans="1:6" ht="16" x14ac:dyDescent="0.35">
      <c r="A14" s="3" t="s">
        <v>26</v>
      </c>
      <c r="B14" s="4">
        <v>142839692</v>
      </c>
      <c r="C14" s="4" t="str">
        <f t="shared" si="0"/>
        <v>142.84 M</v>
      </c>
      <c r="D14" s="5" t="s">
        <v>27</v>
      </c>
      <c r="E14" s="6">
        <v>65.8</v>
      </c>
      <c r="F14" s="7"/>
    </row>
    <row r="15" spans="1:6" ht="16" x14ac:dyDescent="0.35">
      <c r="A15" s="3" t="s">
        <v>28</v>
      </c>
      <c r="B15" s="4">
        <v>384833076</v>
      </c>
      <c r="C15" s="4" t="str">
        <f t="shared" si="0"/>
        <v>384.83 M</v>
      </c>
      <c r="D15" s="5" t="s">
        <v>29</v>
      </c>
      <c r="E15" s="6">
        <v>90</v>
      </c>
      <c r="F15" s="7"/>
    </row>
    <row r="16" spans="1:6" ht="16" x14ac:dyDescent="0.35">
      <c r="A16" s="3" t="s">
        <v>30</v>
      </c>
      <c r="B16" s="4">
        <v>170004271</v>
      </c>
      <c r="C16" s="4" t="str">
        <f t="shared" si="0"/>
        <v>170 M</v>
      </c>
      <c r="D16" s="5" t="s">
        <v>31</v>
      </c>
      <c r="E16" s="6">
        <v>62.7</v>
      </c>
      <c r="F16" s="7"/>
    </row>
    <row r="17" spans="1:6" ht="16" x14ac:dyDescent="0.35">
      <c r="A17" s="3" t="s">
        <v>37</v>
      </c>
      <c r="B17" s="4">
        <v>125508484</v>
      </c>
      <c r="C17" s="4" t="str">
        <f>ROUND(B17/1000000,2) &amp; " M"</f>
        <v>125.51 M</v>
      </c>
      <c r="D17" s="5" t="s">
        <v>38</v>
      </c>
      <c r="E17" s="12"/>
      <c r="F17" s="7"/>
    </row>
    <row r="18" spans="1:6" ht="16" x14ac:dyDescent="0.35">
      <c r="A18" s="8" t="s">
        <v>35</v>
      </c>
      <c r="B18" s="9">
        <v>758059685</v>
      </c>
      <c r="C18" s="9" t="str">
        <f t="shared" si="0"/>
        <v>758.06 M</v>
      </c>
      <c r="D18" s="10"/>
      <c r="E18" s="13" t="s">
        <v>36</v>
      </c>
      <c r="F18" s="7">
        <v>827473392</v>
      </c>
    </row>
    <row r="19" spans="1:6" ht="16" x14ac:dyDescent="0.35">
      <c r="A19" s="8" t="s">
        <v>15</v>
      </c>
      <c r="B19" s="9">
        <v>121573011</v>
      </c>
      <c r="C19" s="9" t="str">
        <f>ROUND(B19/1000000,2) &amp; " M"</f>
        <v>121.57 M</v>
      </c>
      <c r="D19" s="10" t="s">
        <v>16</v>
      </c>
      <c r="E19" s="11">
        <v>24.4</v>
      </c>
      <c r="F19" s="7"/>
    </row>
    <row r="20" spans="1:6" ht="16" x14ac:dyDescent="0.35">
      <c r="A20" s="17" t="s">
        <v>9</v>
      </c>
      <c r="B20" s="4">
        <v>380973872</v>
      </c>
      <c r="C20" s="4" t="str">
        <f>ROUND(B20/1000000,2) &amp; " M"</f>
        <v>380.97 M</v>
      </c>
      <c r="D20" s="5" t="s">
        <v>10</v>
      </c>
      <c r="E20" s="6">
        <v>45</v>
      </c>
      <c r="F20" s="7" t="s">
        <v>6</v>
      </c>
    </row>
    <row r="21" spans="1:6" ht="16" x14ac:dyDescent="0.35">
      <c r="A21" s="17" t="s">
        <v>39</v>
      </c>
      <c r="B21" s="4">
        <v>305988930</v>
      </c>
      <c r="C21" s="4" t="str">
        <f t="shared" si="0"/>
        <v>305.99 M</v>
      </c>
      <c r="D21" s="5" t="s">
        <v>40</v>
      </c>
      <c r="E21" s="6">
        <v>54.5</v>
      </c>
      <c r="F21" s="7" t="s">
        <v>6</v>
      </c>
    </row>
    <row r="22" spans="1:6" ht="16" x14ac:dyDescent="0.35">
      <c r="A22" s="17" t="s">
        <v>41</v>
      </c>
      <c r="B22" s="4">
        <v>220974363</v>
      </c>
      <c r="C22" s="4" t="str">
        <f t="shared" si="0"/>
        <v>220.97 M</v>
      </c>
      <c r="D22" s="5" t="s">
        <v>42</v>
      </c>
      <c r="E22" s="6">
        <v>64.099999999999994</v>
      </c>
      <c r="F22" s="7" t="s">
        <v>6</v>
      </c>
    </row>
    <row r="23" spans="1:6" ht="16" x14ac:dyDescent="0.35">
      <c r="A23" s="17" t="s">
        <v>43</v>
      </c>
      <c r="B23" s="4">
        <v>336483823</v>
      </c>
      <c r="C23" s="4" t="str">
        <f t="shared" si="0"/>
        <v>336.48 M</v>
      </c>
      <c r="D23" s="5" t="s">
        <v>44</v>
      </c>
      <c r="E23" s="6">
        <v>116.7</v>
      </c>
      <c r="F23" s="7" t="s">
        <v>6</v>
      </c>
    </row>
    <row r="24" spans="1:6" ht="16" x14ac:dyDescent="0.35">
      <c r="A24" s="17" t="s">
        <v>45</v>
      </c>
      <c r="B24" s="4">
        <v>134050454</v>
      </c>
      <c r="C24" s="4" t="str">
        <f t="shared" si="0"/>
        <v>134.05 M</v>
      </c>
      <c r="D24" s="5" t="s">
        <v>46</v>
      </c>
      <c r="E24" s="6">
        <v>32.9</v>
      </c>
      <c r="F24" s="7" t="s">
        <v>6</v>
      </c>
    </row>
    <row r="25" spans="1:6" ht="16" x14ac:dyDescent="0.35">
      <c r="A25" s="17" t="s">
        <v>47</v>
      </c>
      <c r="B25" s="4">
        <v>213020476</v>
      </c>
      <c r="C25" s="4" t="str">
        <f t="shared" si="0"/>
        <v>213.02 M</v>
      </c>
      <c r="D25" s="5" t="s">
        <v>48</v>
      </c>
      <c r="E25" s="6">
        <v>56.1</v>
      </c>
      <c r="F25" s="7" t="s">
        <v>6</v>
      </c>
    </row>
    <row r="26" spans="1:6" ht="16" x14ac:dyDescent="0.35">
      <c r="A26" s="17" t="s">
        <v>49</v>
      </c>
      <c r="B26" s="4">
        <v>216073094</v>
      </c>
      <c r="C26" s="4" t="str">
        <f t="shared" si="0"/>
        <v>216.07 M</v>
      </c>
      <c r="D26" s="5" t="s">
        <v>50</v>
      </c>
      <c r="E26" s="6">
        <v>58.8</v>
      </c>
      <c r="F26" s="7" t="s">
        <v>6</v>
      </c>
    </row>
    <row r="27" spans="1:6" ht="16" x14ac:dyDescent="0.35">
      <c r="A27" s="17" t="s">
        <v>51</v>
      </c>
      <c r="B27" s="4">
        <v>220974363</v>
      </c>
      <c r="C27" s="4" t="str">
        <f t="shared" si="0"/>
        <v>220.97 M</v>
      </c>
      <c r="D27" s="5" t="s">
        <v>52</v>
      </c>
      <c r="E27" s="6">
        <v>66.7</v>
      </c>
      <c r="F27" s="7" t="s">
        <v>6</v>
      </c>
    </row>
    <row r="28" spans="1:6" ht="16" x14ac:dyDescent="0.35">
      <c r="A28" s="17" t="s">
        <v>53</v>
      </c>
      <c r="B28" s="4">
        <v>140073395</v>
      </c>
      <c r="C28" s="4" t="str">
        <f t="shared" si="0"/>
        <v>140.07 M</v>
      </c>
      <c r="D28" s="5" t="s">
        <v>54</v>
      </c>
      <c r="E28" s="6">
        <v>42.3</v>
      </c>
      <c r="F28" s="7" t="s">
        <v>6</v>
      </c>
    </row>
    <row r="29" spans="1:6" ht="16" x14ac:dyDescent="0.35">
      <c r="A29" s="17" t="s">
        <v>55</v>
      </c>
      <c r="B29" s="4">
        <v>294989472</v>
      </c>
      <c r="C29" s="4" t="str">
        <f t="shared" si="0"/>
        <v>294.99 M</v>
      </c>
      <c r="D29" s="5" t="s">
        <v>56</v>
      </c>
      <c r="E29" s="6">
        <v>51.2</v>
      </c>
      <c r="F29" s="7" t="s">
        <v>6</v>
      </c>
    </row>
    <row r="30" spans="1:6" ht="16" x14ac:dyDescent="0.35">
      <c r="A30" s="17" t="s">
        <v>59</v>
      </c>
      <c r="B30" s="4">
        <v>364828579</v>
      </c>
      <c r="C30" s="4" t="str">
        <f t="shared" si="0"/>
        <v>364.83 M</v>
      </c>
      <c r="D30" s="5" t="s">
        <v>60</v>
      </c>
      <c r="E30" s="6">
        <v>60.5</v>
      </c>
      <c r="F30" s="7" t="s">
        <v>6</v>
      </c>
    </row>
    <row r="31" spans="1:6" ht="16" x14ac:dyDescent="0.35">
      <c r="A31" s="17" t="s">
        <v>61</v>
      </c>
      <c r="B31" s="4">
        <v>84759172</v>
      </c>
      <c r="C31" s="4" t="str">
        <f t="shared" si="0"/>
        <v>84.76 M</v>
      </c>
      <c r="D31" s="5" t="s">
        <v>62</v>
      </c>
      <c r="E31" s="5" t="s">
        <v>63</v>
      </c>
      <c r="F31" s="7" t="s">
        <v>64</v>
      </c>
    </row>
    <row r="32" spans="1:6" ht="16" x14ac:dyDescent="0.35">
      <c r="A32" s="17" t="s">
        <v>65</v>
      </c>
      <c r="B32" s="4">
        <v>84824564</v>
      </c>
      <c r="C32" s="4" t="str">
        <f t="shared" si="0"/>
        <v>84.82 M</v>
      </c>
      <c r="D32" s="5" t="s">
        <v>66</v>
      </c>
      <c r="E32" s="5" t="s">
        <v>67</v>
      </c>
      <c r="F32" s="7" t="s">
        <v>68</v>
      </c>
    </row>
    <row r="33" spans="1:6" ht="16" x14ac:dyDescent="0.35">
      <c r="A33" s="17" t="s">
        <v>69</v>
      </c>
      <c r="B33" s="4">
        <v>82490806</v>
      </c>
      <c r="C33" s="4" t="str">
        <f t="shared" si="0"/>
        <v>82.49 M</v>
      </c>
      <c r="D33" s="5" t="s">
        <v>70</v>
      </c>
      <c r="E33" s="5" t="s">
        <v>71</v>
      </c>
      <c r="F33" s="7" t="s">
        <v>72</v>
      </c>
    </row>
    <row r="34" spans="1:6" ht="16" x14ac:dyDescent="0.35">
      <c r="A34" s="17" t="s">
        <v>73</v>
      </c>
      <c r="B34" s="4">
        <v>301108110</v>
      </c>
      <c r="C34" s="4" t="str">
        <f t="shared" si="0"/>
        <v>301.11 M</v>
      </c>
      <c r="D34" s="5" t="s">
        <v>74</v>
      </c>
      <c r="E34" s="6">
        <v>66.8</v>
      </c>
      <c r="F34" s="7" t="s">
        <v>6</v>
      </c>
    </row>
    <row r="35" spans="1:6" ht="16" x14ac:dyDescent="0.35">
      <c r="A35" s="17" t="s">
        <v>75</v>
      </c>
      <c r="B35" s="4">
        <v>193815976</v>
      </c>
      <c r="C35" s="4" t="str">
        <f t="shared" si="0"/>
        <v>193.82 M</v>
      </c>
      <c r="D35" s="5" t="s">
        <v>76</v>
      </c>
      <c r="E35" s="6">
        <v>41.4</v>
      </c>
      <c r="F35" s="7" t="s">
        <v>6</v>
      </c>
    </row>
    <row r="36" spans="1:6" ht="16" x14ac:dyDescent="0.35">
      <c r="A36" s="17" t="s">
        <v>77</v>
      </c>
      <c r="B36" s="4">
        <v>234337587</v>
      </c>
      <c r="C36" s="4" t="str">
        <f t="shared" si="0"/>
        <v>234.34 M</v>
      </c>
      <c r="D36" s="5" t="s">
        <v>78</v>
      </c>
      <c r="E36" s="6">
        <v>63.4</v>
      </c>
      <c r="F36" s="7" t="s">
        <v>6</v>
      </c>
    </row>
    <row r="37" spans="1:6" ht="16" x14ac:dyDescent="0.35">
      <c r="A37" s="17" t="s">
        <v>79</v>
      </c>
      <c r="B37" s="4">
        <v>2121909763</v>
      </c>
      <c r="C37" s="4" t="str">
        <f>ROUND(B37/1000000000,2) &amp; " B"</f>
        <v>2.12 B</v>
      </c>
      <c r="D37" s="5" t="s">
        <v>80</v>
      </c>
      <c r="E37" s="6">
        <v>407.1</v>
      </c>
      <c r="F37" s="7" t="s">
        <v>6</v>
      </c>
    </row>
    <row r="38" spans="1:6" ht="16" x14ac:dyDescent="0.35">
      <c r="A38" s="17" t="s">
        <v>81</v>
      </c>
      <c r="B38" s="4">
        <v>984697788</v>
      </c>
      <c r="C38" s="4" t="str">
        <f>ROUND(B38/1000000,2) &amp; " M"</f>
        <v>984.7 M</v>
      </c>
      <c r="D38" s="5" t="s">
        <v>82</v>
      </c>
      <c r="E38" s="6">
        <v>222.6</v>
      </c>
      <c r="F38" s="7" t="s">
        <v>6</v>
      </c>
    </row>
    <row r="39" spans="1:6" ht="16" x14ac:dyDescent="0.35">
      <c r="A39" s="17" t="s">
        <v>83</v>
      </c>
      <c r="B39" s="4">
        <v>1954996691</v>
      </c>
      <c r="C39" s="4" t="str">
        <f>ROUND(B39/1000000000,2) &amp; " B"</f>
        <v>1.95 B</v>
      </c>
      <c r="D39" s="5" t="s">
        <v>84</v>
      </c>
      <c r="E39" s="6">
        <v>324.5</v>
      </c>
      <c r="F39" s="7" t="s">
        <v>6</v>
      </c>
    </row>
    <row r="40" spans="1:6" ht="16" x14ac:dyDescent="0.35">
      <c r="A40" s="17" t="s">
        <v>85</v>
      </c>
      <c r="B40" s="4">
        <v>395562714</v>
      </c>
      <c r="C40" s="4" t="str">
        <f>ROUND(B40/1000000,2) &amp; " M"</f>
        <v>395.56 M</v>
      </c>
      <c r="D40" s="5" t="s">
        <v>86</v>
      </c>
      <c r="E40" s="6">
        <v>49.7</v>
      </c>
      <c r="F40" s="7" t="s">
        <v>6</v>
      </c>
    </row>
    <row r="41" spans="1:6" ht="16" x14ac:dyDescent="0.35">
      <c r="A41" s="17" t="s">
        <v>87</v>
      </c>
      <c r="B41" s="4">
        <v>167760942</v>
      </c>
      <c r="C41" s="4" t="str">
        <f>ROUND(B41/1000000,2) &amp; " M"</f>
        <v>167.76 M</v>
      </c>
      <c r="D41" s="5" t="s">
        <v>88</v>
      </c>
      <c r="E41" s="6">
        <v>26.4</v>
      </c>
      <c r="F41" s="7" t="s">
        <v>6</v>
      </c>
    </row>
    <row r="48" spans="1:6" x14ac:dyDescent="0.35">
      <c r="A48" s="14"/>
      <c r="B48" s="14" t="s">
        <v>93</v>
      </c>
      <c r="C48" s="14"/>
      <c r="D48" s="15"/>
    </row>
    <row r="49" spans="1:2" x14ac:dyDescent="0.35">
      <c r="A49" s="16"/>
      <c r="B4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Cummings</dc:creator>
  <cp:lastModifiedBy>Robert Cummings</cp:lastModifiedBy>
  <dcterms:created xsi:type="dcterms:W3CDTF">2026-10-02T18:01:10Z</dcterms:created>
  <dcterms:modified xsi:type="dcterms:W3CDTF">2026-10-06T17:53:07Z</dcterms:modified>
</cp:coreProperties>
</file>